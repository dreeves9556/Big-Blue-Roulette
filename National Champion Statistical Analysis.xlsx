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<sst xmlns="http://schemas.openxmlformats.org/spreadsheetml/2006/main" count="80" uniqueCount="50">
  <si>
    <t>Year</t>
  </si>
  <si>
    <t>Team</t>
  </si>
  <si>
    <t>Record</t>
  </si>
  <si>
    <t>PPG</t>
  </si>
  <si>
    <t>APG</t>
  </si>
  <si>
    <t>RPG</t>
  </si>
  <si>
    <t>SPG</t>
  </si>
  <si>
    <t>BPG</t>
  </si>
  <si>
    <t>Michigan</t>
  </si>
  <si>
    <t>37-3</t>
  </si>
  <si>
    <t>Florida</t>
  </si>
  <si>
    <t>36-4</t>
  </si>
  <si>
    <t>UConn</t>
  </si>
  <si>
    <t>31-8</t>
  </si>
  <si>
    <t>Kansas</t>
  </si>
  <si>
    <t>34-6</t>
  </si>
  <si>
    <t>Baylor</t>
  </si>
  <si>
    <t>28-2</t>
  </si>
  <si>
    <t>Virginia</t>
  </si>
  <si>
    <t>35-3</t>
  </si>
  <si>
    <t>Villanova</t>
  </si>
  <si>
    <t>UNC</t>
  </si>
  <si>
    <t>33-7</t>
  </si>
  <si>
    <t>35-5</t>
  </si>
  <si>
    <t>Duke</t>
  </si>
  <si>
    <t>35-4</t>
  </si>
  <si>
    <t>32-8</t>
  </si>
  <si>
    <t>Louisville (Vacated)</t>
  </si>
  <si>
    <t>Kentucky</t>
  </si>
  <si>
    <t>38-2</t>
  </si>
  <si>
    <t>32-9</t>
  </si>
  <si>
    <t>34-4</t>
  </si>
  <si>
    <t>33-6</t>
  </si>
  <si>
    <t>33-4</t>
  </si>
  <si>
    <t>Syracuse</t>
  </si>
  <si>
    <t>30-5</t>
  </si>
  <si>
    <t>Maryland</t>
  </si>
  <si>
    <t>32-4</t>
  </si>
  <si>
    <t>Michigan State</t>
  </si>
  <si>
    <t>32-7</t>
  </si>
  <si>
    <t>34-2</t>
  </si>
  <si>
    <t>Arizona</t>
  </si>
  <si>
    <t>25-9</t>
  </si>
  <si>
    <t>STATISTICAL ANALYSIS (All 30 Champions)</t>
  </si>
  <si>
    <t>Metric</t>
  </si>
  <si>
    <t>Average</t>
  </si>
  <si>
    <t>Maximum</t>
  </si>
  <si>
    <t>Minimum</t>
  </si>
  <si>
    <t>Std Dev</t>
  </si>
  <si>
    <t>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</si>
</sst>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2026.0</v>
      </c>
      <c r="B2" s="1" t="s">
        <v>8</v>
      </c>
      <c r="C2" s="1" t="s">
        <v>9</v>
      </c>
      <c r="D2" s="1">
        <v>87.3</v>
      </c>
      <c r="E2" s="1">
        <v>18.6</v>
      </c>
      <c r="F2" s="1">
        <v>40.1</v>
      </c>
      <c r="G2" s="1">
        <v>5.6</v>
      </c>
      <c r="H2" s="1">
        <v>6.1</v>
      </c>
    </row>
    <row r="3">
      <c r="A3" s="1">
        <v>2025.0</v>
      </c>
      <c r="B3" s="1" t="s">
        <v>10</v>
      </c>
      <c r="C3" s="1" t="s">
        <v>11</v>
      </c>
      <c r="D3" s="1">
        <v>84.8</v>
      </c>
      <c r="E3" s="1">
        <v>15.5</v>
      </c>
      <c r="F3" s="1">
        <v>41.8</v>
      </c>
      <c r="G3" s="1">
        <v>7.4</v>
      </c>
      <c r="H3" s="1">
        <v>4.5</v>
      </c>
    </row>
    <row r="4">
      <c r="A4" s="1">
        <v>2024.0</v>
      </c>
      <c r="B4" s="1" t="s">
        <v>12</v>
      </c>
      <c r="C4" s="1" t="s">
        <v>9</v>
      </c>
      <c r="D4" s="1">
        <v>81.4</v>
      </c>
      <c r="E4" s="1">
        <v>18.7</v>
      </c>
      <c r="F4" s="1">
        <v>38.8</v>
      </c>
      <c r="G4" s="1">
        <v>6.2</v>
      </c>
      <c r="H4" s="1">
        <v>5.4</v>
      </c>
    </row>
    <row r="5">
      <c r="A5" s="1">
        <v>2023.0</v>
      </c>
      <c r="B5" s="1" t="s">
        <v>12</v>
      </c>
      <c r="C5" s="1" t="s">
        <v>13</v>
      </c>
      <c r="D5" s="1">
        <v>78.6</v>
      </c>
      <c r="E5" s="1">
        <v>17.5</v>
      </c>
      <c r="F5" s="1">
        <v>39.3</v>
      </c>
      <c r="G5" s="1">
        <v>6.3</v>
      </c>
      <c r="H5" s="1">
        <v>4.9</v>
      </c>
    </row>
    <row r="6">
      <c r="A6" s="1">
        <v>2022.0</v>
      </c>
      <c r="B6" s="1" t="s">
        <v>14</v>
      </c>
      <c r="C6" s="1" t="s">
        <v>15</v>
      </c>
      <c r="D6" s="1">
        <v>78.2</v>
      </c>
      <c r="E6" s="1">
        <v>15.3</v>
      </c>
      <c r="F6" s="1">
        <v>37.9</v>
      </c>
      <c r="G6" s="1">
        <v>6.3</v>
      </c>
      <c r="H6" s="1">
        <v>4.3</v>
      </c>
    </row>
    <row r="7">
      <c r="A7" s="1">
        <v>2021.0</v>
      </c>
      <c r="B7" s="1" t="s">
        <v>16</v>
      </c>
      <c r="C7" s="1" t="s">
        <v>17</v>
      </c>
      <c r="D7" s="1">
        <v>82.9</v>
      </c>
      <c r="E7" s="1">
        <v>16.9</v>
      </c>
      <c r="F7" s="1">
        <v>36.0</v>
      </c>
      <c r="G7" s="1">
        <v>8.9</v>
      </c>
      <c r="H7" s="1">
        <v>3.7</v>
      </c>
    </row>
    <row r="8">
      <c r="A8" s="1">
        <v>2019.0</v>
      </c>
      <c r="B8" s="1" t="s">
        <v>18</v>
      </c>
      <c r="C8" s="1" t="s">
        <v>19</v>
      </c>
      <c r="D8" s="1">
        <v>71.4</v>
      </c>
      <c r="E8" s="1">
        <v>14.3</v>
      </c>
      <c r="F8" s="1">
        <v>34.9</v>
      </c>
      <c r="G8" s="1">
        <v>5.6</v>
      </c>
      <c r="H8" s="1">
        <v>3.9</v>
      </c>
    </row>
    <row r="9">
      <c r="A9" s="1">
        <v>2018.0</v>
      </c>
      <c r="B9" s="1" t="s">
        <v>20</v>
      </c>
      <c r="C9" s="1" t="s">
        <v>11</v>
      </c>
      <c r="D9" s="1">
        <v>86.6</v>
      </c>
      <c r="E9" s="1">
        <v>16.4</v>
      </c>
      <c r="F9" s="1">
        <v>35.9</v>
      </c>
      <c r="G9" s="1">
        <v>6.5</v>
      </c>
      <c r="H9" s="1">
        <v>4.1</v>
      </c>
    </row>
    <row r="10">
      <c r="A10" s="1">
        <v>2017.0</v>
      </c>
      <c r="B10" s="1" t="s">
        <v>21</v>
      </c>
      <c r="C10" s="1" t="s">
        <v>22</v>
      </c>
      <c r="D10" s="1">
        <v>84.4</v>
      </c>
      <c r="E10" s="1">
        <v>18.1</v>
      </c>
      <c r="F10" s="1">
        <v>43.7</v>
      </c>
      <c r="G10" s="1">
        <v>7.1</v>
      </c>
      <c r="H10" s="1">
        <v>3.5</v>
      </c>
    </row>
    <row r="11">
      <c r="A11" s="1">
        <v>2016.0</v>
      </c>
      <c r="B11" s="1" t="s">
        <v>20</v>
      </c>
      <c r="C11" s="1" t="s">
        <v>23</v>
      </c>
      <c r="D11" s="1">
        <v>78.0</v>
      </c>
      <c r="E11" s="1">
        <v>15.9</v>
      </c>
      <c r="F11" s="1">
        <v>34.6</v>
      </c>
      <c r="G11" s="1">
        <v>7.1</v>
      </c>
      <c r="H11" s="1">
        <v>3.4</v>
      </c>
    </row>
    <row r="12">
      <c r="A12" s="1">
        <v>2015.0</v>
      </c>
      <c r="B12" s="1" t="s">
        <v>24</v>
      </c>
      <c r="C12" s="1" t="s">
        <v>25</v>
      </c>
      <c r="D12" s="1">
        <v>79.3</v>
      </c>
      <c r="E12" s="1">
        <v>15.1</v>
      </c>
      <c r="F12" s="1">
        <v>36.8</v>
      </c>
      <c r="G12" s="1">
        <v>7.1</v>
      </c>
      <c r="H12" s="1">
        <v>3.8</v>
      </c>
    </row>
    <row r="13">
      <c r="A13" s="1">
        <v>2014.0</v>
      </c>
      <c r="B13" s="1" t="s">
        <v>12</v>
      </c>
      <c r="C13" s="1" t="s">
        <v>26</v>
      </c>
      <c r="D13" s="1">
        <v>71.8</v>
      </c>
      <c r="E13" s="1">
        <v>12.2</v>
      </c>
      <c r="F13" s="1">
        <v>34.7</v>
      </c>
      <c r="G13" s="1">
        <v>7.0</v>
      </c>
      <c r="H13" s="1">
        <v>5.8</v>
      </c>
    </row>
    <row r="14">
      <c r="A14" s="1">
        <v>2013.0</v>
      </c>
      <c r="B14" s="1" t="s">
        <v>27</v>
      </c>
      <c r="C14" s="1" t="s">
        <v>23</v>
      </c>
      <c r="D14" s="1">
        <v>74.5</v>
      </c>
      <c r="E14" s="1">
        <v>14.6</v>
      </c>
      <c r="F14" s="1">
        <v>34.6</v>
      </c>
      <c r="G14" s="1">
        <v>10.8</v>
      </c>
      <c r="H14" s="1">
        <v>4.2</v>
      </c>
    </row>
    <row r="15">
      <c r="A15" s="1">
        <v>2012.0</v>
      </c>
      <c r="B15" s="1" t="s">
        <v>28</v>
      </c>
      <c r="C15" s="1" t="s">
        <v>29</v>
      </c>
      <c r="D15" s="1">
        <v>77.4</v>
      </c>
      <c r="E15" s="1">
        <v>13.3</v>
      </c>
      <c r="F15" s="1">
        <v>36.1</v>
      </c>
      <c r="G15" s="1">
        <v>6.1</v>
      </c>
      <c r="H15" s="1">
        <v>8.6</v>
      </c>
    </row>
    <row r="16">
      <c r="A16" s="1">
        <v>2011.0</v>
      </c>
      <c r="B16" s="1" t="s">
        <v>12</v>
      </c>
      <c r="C16" s="1" t="s">
        <v>30</v>
      </c>
      <c r="D16" s="1">
        <v>72.4</v>
      </c>
      <c r="E16" s="1">
        <v>13.0</v>
      </c>
      <c r="F16" s="1">
        <v>39.7</v>
      </c>
      <c r="G16" s="1">
        <v>6.3</v>
      </c>
      <c r="H16" s="1">
        <v>5.6</v>
      </c>
    </row>
    <row r="17">
      <c r="A17" s="1">
        <v>2010.0</v>
      </c>
      <c r="B17" s="1" t="s">
        <v>24</v>
      </c>
      <c r="C17" s="1" t="s">
        <v>23</v>
      </c>
      <c r="D17" s="1">
        <v>77.0</v>
      </c>
      <c r="E17" s="1">
        <v>13.9</v>
      </c>
      <c r="F17" s="1">
        <v>39.0</v>
      </c>
      <c r="G17" s="1">
        <v>6.7</v>
      </c>
      <c r="H17" s="1">
        <v>4.1</v>
      </c>
    </row>
    <row r="18">
      <c r="A18" s="1">
        <v>2009.0</v>
      </c>
      <c r="B18" s="1" t="s">
        <v>21</v>
      </c>
      <c r="C18" s="1" t="s">
        <v>31</v>
      </c>
      <c r="D18" s="1">
        <v>89.8</v>
      </c>
      <c r="E18" s="1">
        <v>18.0</v>
      </c>
      <c r="F18" s="1">
        <v>41.9</v>
      </c>
      <c r="G18" s="1">
        <v>8.6</v>
      </c>
      <c r="H18" s="1">
        <v>5.2</v>
      </c>
    </row>
    <row r="19">
      <c r="A19" s="1">
        <v>2008.0</v>
      </c>
      <c r="B19" s="1" t="s">
        <v>14</v>
      </c>
      <c r="C19" s="1" t="s">
        <v>9</v>
      </c>
      <c r="D19" s="1">
        <v>80.5</v>
      </c>
      <c r="E19" s="1">
        <v>18.0</v>
      </c>
      <c r="F19" s="1">
        <v>38.7</v>
      </c>
      <c r="G19" s="1">
        <v>8.9</v>
      </c>
      <c r="H19" s="1">
        <v>5.9</v>
      </c>
    </row>
    <row r="20">
      <c r="A20" s="1">
        <v>2007.0</v>
      </c>
      <c r="B20" s="1" t="s">
        <v>10</v>
      </c>
      <c r="C20" s="1" t="s">
        <v>23</v>
      </c>
      <c r="D20" s="1">
        <v>79.8</v>
      </c>
      <c r="E20" s="1">
        <v>15.4</v>
      </c>
      <c r="F20" s="1">
        <v>37.6</v>
      </c>
      <c r="G20" s="1">
        <v>6.7</v>
      </c>
      <c r="H20" s="1">
        <v>4.9</v>
      </c>
    </row>
    <row r="21">
      <c r="A21" s="1">
        <v>2006.0</v>
      </c>
      <c r="B21" s="1" t="s">
        <v>10</v>
      </c>
      <c r="C21" s="1" t="s">
        <v>32</v>
      </c>
      <c r="D21" s="1">
        <v>78.3</v>
      </c>
      <c r="E21" s="1">
        <v>16.7</v>
      </c>
      <c r="F21" s="1">
        <v>35.9</v>
      </c>
      <c r="G21" s="1">
        <v>7.6</v>
      </c>
      <c r="H21" s="1">
        <v>5.3</v>
      </c>
    </row>
    <row r="22">
      <c r="A22" s="1">
        <v>2005.0</v>
      </c>
      <c r="B22" s="1" t="s">
        <v>21</v>
      </c>
      <c r="C22" s="1" t="s">
        <v>33</v>
      </c>
      <c r="D22" s="1">
        <v>88.0</v>
      </c>
      <c r="E22" s="1">
        <v>19.1</v>
      </c>
      <c r="F22" s="1">
        <v>40.5</v>
      </c>
      <c r="G22" s="1">
        <v>9.8</v>
      </c>
      <c r="H22" s="1">
        <v>3.8</v>
      </c>
    </row>
    <row r="23">
      <c r="A23" s="1">
        <v>2004.0</v>
      </c>
      <c r="B23" s="1" t="s">
        <v>12</v>
      </c>
      <c r="C23" s="1" t="s">
        <v>32</v>
      </c>
      <c r="D23" s="1">
        <v>78.8</v>
      </c>
      <c r="E23" s="1">
        <v>17.5</v>
      </c>
      <c r="F23" s="1">
        <v>44.7</v>
      </c>
      <c r="G23" s="1">
        <v>6.0</v>
      </c>
      <c r="H23" s="1">
        <v>8.1</v>
      </c>
    </row>
    <row r="24">
      <c r="A24" s="2">
        <v>2003.0</v>
      </c>
      <c r="B24" s="2" t="s">
        <v>34</v>
      </c>
      <c r="C24" s="2" t="s">
        <v>35</v>
      </c>
      <c r="D24" s="2">
        <v>79.6</v>
      </c>
      <c r="E24" s="2">
        <v>14.9</v>
      </c>
      <c r="F24" s="2">
        <v>40.7</v>
      </c>
      <c r="G24" s="2">
        <v>8.5</v>
      </c>
      <c r="H24" s="2">
        <v>7.1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>
        <v>2002.0</v>
      </c>
      <c r="B25" s="2" t="s">
        <v>36</v>
      </c>
      <c r="C25" s="2" t="s">
        <v>37</v>
      </c>
      <c r="D25" s="2">
        <v>85.0</v>
      </c>
      <c r="E25" s="2">
        <v>19.8</v>
      </c>
      <c r="F25" s="2">
        <v>41.1</v>
      </c>
      <c r="G25" s="2">
        <v>8.4</v>
      </c>
      <c r="H25" s="2">
        <v>6.0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2001.0</v>
      </c>
      <c r="B26" s="1" t="s">
        <v>24</v>
      </c>
      <c r="C26" s="1" t="s">
        <v>25</v>
      </c>
      <c r="D26" s="1">
        <v>90.7</v>
      </c>
      <c r="E26" s="1">
        <v>18.0</v>
      </c>
      <c r="F26" s="1">
        <v>38.6</v>
      </c>
      <c r="G26" s="1">
        <v>10.5</v>
      </c>
      <c r="H26" s="1">
        <v>5.0</v>
      </c>
    </row>
    <row r="27">
      <c r="A27" s="1">
        <v>2000.0</v>
      </c>
      <c r="B27" s="1" t="s">
        <v>38</v>
      </c>
      <c r="C27" s="1" t="s">
        <v>39</v>
      </c>
      <c r="D27" s="1">
        <v>74.1</v>
      </c>
      <c r="E27" s="1">
        <v>15.4</v>
      </c>
      <c r="F27" s="1">
        <v>39.0</v>
      </c>
      <c r="G27" s="1">
        <v>6.6</v>
      </c>
      <c r="H27" s="1">
        <v>2.7</v>
      </c>
    </row>
    <row r="28">
      <c r="A28" s="1">
        <v>1999.0</v>
      </c>
      <c r="B28" s="1" t="s">
        <v>12</v>
      </c>
      <c r="C28" s="1" t="s">
        <v>40</v>
      </c>
      <c r="D28" s="1">
        <v>77.3</v>
      </c>
      <c r="E28" s="1">
        <v>15.3</v>
      </c>
      <c r="F28" s="1">
        <v>40.3</v>
      </c>
      <c r="G28" s="1">
        <v>8.0</v>
      </c>
      <c r="H28" s="1">
        <v>4.2</v>
      </c>
    </row>
    <row r="29">
      <c r="A29" s="1">
        <v>1998.0</v>
      </c>
      <c r="B29" s="1" t="s">
        <v>28</v>
      </c>
      <c r="C29" s="1" t="s">
        <v>25</v>
      </c>
      <c r="D29" s="1">
        <v>80.1</v>
      </c>
      <c r="E29" s="1">
        <v>17.7</v>
      </c>
      <c r="F29" s="1">
        <v>42.1</v>
      </c>
      <c r="G29" s="1">
        <v>8.7</v>
      </c>
      <c r="H29" s="1">
        <v>6.2</v>
      </c>
    </row>
    <row r="30">
      <c r="A30" s="1">
        <v>1997.0</v>
      </c>
      <c r="B30" s="1" t="s">
        <v>41</v>
      </c>
      <c r="C30" s="1" t="s">
        <v>42</v>
      </c>
      <c r="D30" s="1">
        <v>83.8</v>
      </c>
      <c r="E30" s="1">
        <v>16.7</v>
      </c>
      <c r="F30" s="1">
        <v>40.5</v>
      </c>
      <c r="G30" s="1">
        <v>10.5</v>
      </c>
      <c r="H30" s="1">
        <v>2.9</v>
      </c>
    </row>
    <row r="31">
      <c r="A31" s="1">
        <v>1996.0</v>
      </c>
      <c r="B31" s="1" t="s">
        <v>28</v>
      </c>
      <c r="C31" s="1" t="s">
        <v>40</v>
      </c>
      <c r="D31" s="1">
        <v>91.4</v>
      </c>
      <c r="E31" s="1">
        <v>21.8</v>
      </c>
      <c r="F31" s="1">
        <v>41.7</v>
      </c>
      <c r="G31" s="1">
        <v>12.1</v>
      </c>
      <c r="H31" s="1">
        <v>4.9</v>
      </c>
    </row>
    <row r="33">
      <c r="A33" s="2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44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45</v>
      </c>
      <c r="B35" s="4">
        <f t="shared" ref="B35:F35" si="1">AVERAGE(D2:D31)</f>
        <v>80.77333333</v>
      </c>
      <c r="C35" s="4">
        <f t="shared" si="1"/>
        <v>16.45333333</v>
      </c>
      <c r="D35" s="4">
        <f t="shared" si="1"/>
        <v>38.90666667</v>
      </c>
      <c r="E35" s="4">
        <f t="shared" si="1"/>
        <v>7.73</v>
      </c>
      <c r="F35" s="4">
        <f t="shared" si="1"/>
        <v>4.936666667</v>
      </c>
    </row>
    <row r="36">
      <c r="A36" s="1" t="s">
        <v>46</v>
      </c>
      <c r="B36" s="4">
        <f t="shared" ref="B36:F36" si="2">MAX(D2:D31)</f>
        <v>91.4</v>
      </c>
      <c r="C36" s="4">
        <f t="shared" si="2"/>
        <v>21.8</v>
      </c>
      <c r="D36" s="4">
        <f t="shared" si="2"/>
        <v>44.7</v>
      </c>
      <c r="E36" s="4">
        <f t="shared" si="2"/>
        <v>12.1</v>
      </c>
      <c r="F36" s="4">
        <f t="shared" si="2"/>
        <v>8.6</v>
      </c>
    </row>
    <row r="37">
      <c r="A37" s="1" t="s">
        <v>47</v>
      </c>
      <c r="B37" s="4">
        <f t="shared" ref="B37:F37" si="3">MIN(D2:D31)</f>
        <v>71.4</v>
      </c>
      <c r="C37" s="4">
        <f t="shared" si="3"/>
        <v>12.2</v>
      </c>
      <c r="D37" s="4">
        <f t="shared" si="3"/>
        <v>34.6</v>
      </c>
      <c r="E37" s="4">
        <f t="shared" si="3"/>
        <v>5.6</v>
      </c>
      <c r="F37" s="4">
        <f t="shared" si="3"/>
        <v>2.7</v>
      </c>
    </row>
    <row r="38">
      <c r="A38" s="1" t="s">
        <v>48</v>
      </c>
      <c r="B38" s="4">
        <f t="shared" ref="B38:F38" si="4">STDEV(D2:D31)</f>
        <v>5.499713681</v>
      </c>
      <c r="C38" s="4">
        <f t="shared" si="4"/>
        <v>2.159938271</v>
      </c>
      <c r="D38" s="4">
        <f t="shared" si="4"/>
        <v>2.76491982</v>
      </c>
      <c r="E38" s="4">
        <f t="shared" si="4"/>
        <v>1.698508473</v>
      </c>
      <c r="F38" s="4">
        <f t="shared" si="4"/>
        <v>1.396666804</v>
      </c>
    </row>
    <row r="39">
      <c r="A39" s="1" t="s">
        <v>49</v>
      </c>
      <c r="B39" s="4">
        <f t="shared" ref="B39:F39" si="5">MEDIAN(D2:D31)</f>
        <v>79.7</v>
      </c>
      <c r="C39" s="4">
        <f t="shared" si="5"/>
        <v>16.55</v>
      </c>
      <c r="D39" s="4">
        <f t="shared" si="5"/>
        <v>39</v>
      </c>
      <c r="E39" s="4">
        <f t="shared" si="5"/>
        <v>7.1</v>
      </c>
      <c r="F39" s="4">
        <f t="shared" si="5"/>
        <v>4.9</v>
      </c>
    </row>
  </sheetData>
  <drawing r:id="rId1"/>
</worksheet>
</file>